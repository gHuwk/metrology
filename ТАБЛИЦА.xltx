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<sst xmlns="http://schemas.openxmlformats.org/spreadsheetml/2006/main" count="28" uniqueCount="28">
  <si>
    <t xml:space="preserve"> i </t>
  </si>
  <si>
    <r>
      <rPr>
        <b val="true"/>
        <sz val="13"/>
        <rFont val="Arial"/>
        <family val="2"/>
        <charset val="1"/>
      </rPr>
      <t xml:space="preserve">x</t>
    </r>
    <r>
      <rPr>
        <b val="true"/>
        <vertAlign val="subscript"/>
        <sz val="13"/>
        <rFont val="Arial"/>
        <family val="2"/>
        <charset val="1"/>
      </rPr>
      <t xml:space="preserve">i</t>
    </r>
    <r>
      <rPr>
        <b val="true"/>
        <sz val="13"/>
        <rFont val="Arial"/>
        <family val="2"/>
        <charset val="1"/>
      </rPr>
      <t xml:space="preserve">;x</t>
    </r>
    <r>
      <rPr>
        <b val="true"/>
        <vertAlign val="subscript"/>
        <sz val="13"/>
        <rFont val="Arial"/>
        <family val="2"/>
        <charset val="1"/>
      </rPr>
      <t xml:space="preserve">i+1</t>
    </r>
  </si>
  <si>
    <r>
      <rPr>
        <b val="true"/>
        <sz val="13"/>
        <rFont val="Arial"/>
        <family val="2"/>
        <charset val="1"/>
      </rPr>
      <t xml:space="preserve">n</t>
    </r>
    <r>
      <rPr>
        <b val="true"/>
        <vertAlign val="subscript"/>
        <sz val="13"/>
        <rFont val="Arial"/>
        <family val="2"/>
        <charset val="1"/>
      </rPr>
      <t xml:space="preserve">i</t>
    </r>
  </si>
  <si>
    <r>
      <rPr>
        <b val="true"/>
        <sz val="13"/>
        <rFont val="Arial"/>
        <family val="2"/>
        <charset val="1"/>
      </rPr>
      <t xml:space="preserve">P</t>
    </r>
    <r>
      <rPr>
        <b val="true"/>
        <vertAlign val="subscript"/>
        <sz val="13"/>
        <rFont val="Arial"/>
        <family val="2"/>
        <charset val="1"/>
      </rPr>
      <t xml:space="preserve">i</t>
    </r>
    <r>
      <rPr>
        <b val="true"/>
        <vertAlign val="superscript"/>
        <sz val="13"/>
        <rFont val="Arial"/>
        <family val="2"/>
        <charset val="1"/>
      </rPr>
      <t xml:space="preserve">*</t>
    </r>
    <r>
      <rPr>
        <b val="true"/>
        <sz val="13"/>
        <rFont val="Arial"/>
        <family val="2"/>
        <charset val="1"/>
      </rPr>
      <t xml:space="preserve">= n</t>
    </r>
    <r>
      <rPr>
        <b val="true"/>
        <vertAlign val="subscript"/>
        <sz val="13"/>
        <rFont val="Arial"/>
        <family val="2"/>
        <charset val="1"/>
      </rPr>
      <t xml:space="preserve">i </t>
    </r>
    <r>
      <rPr>
        <b val="true"/>
        <sz val="13"/>
        <rFont val="Arial"/>
        <family val="2"/>
        <charset val="1"/>
      </rPr>
      <t xml:space="preserve">/ n</t>
    </r>
  </si>
  <si>
    <r>
      <rPr>
        <b val="true"/>
        <sz val="13"/>
        <rFont val="Arial"/>
        <family val="2"/>
        <charset val="1"/>
      </rPr>
      <t xml:space="preserve">x̃</t>
    </r>
    <r>
      <rPr>
        <b val="true"/>
        <vertAlign val="subscript"/>
        <sz val="13"/>
        <rFont val="Arial"/>
        <family val="2"/>
        <charset val="1"/>
      </rPr>
      <t xml:space="preserve">i</t>
    </r>
  </si>
  <si>
    <r>
      <rPr>
        <b val="true"/>
        <sz val="11.5"/>
        <color rgb="FF000000"/>
        <rFont val="Cambria Math;Cambria Math"/>
        <family val="2"/>
        <charset val="129"/>
      </rPr>
      <t xml:space="preserve">𝑥̃</t>
    </r>
    <r>
      <rPr>
        <b val="true"/>
        <vertAlign val="subscript"/>
        <sz val="11.5"/>
        <color rgb="FF000000"/>
        <rFont val="Cambria Math;Cambria Math"/>
        <family val="2"/>
        <charset val="129"/>
      </rPr>
      <t xml:space="preserve">i</t>
    </r>
    <r>
      <rPr>
        <b val="true"/>
        <sz val="11.5"/>
        <color rgb="FF000000"/>
        <rFont val="Cambria Math;Cambria Math"/>
        <family val="2"/>
        <charset val="129"/>
      </rPr>
      <t xml:space="preserve"> Р</t>
    </r>
    <r>
      <rPr>
        <b val="true"/>
        <sz val="8"/>
        <color rgb="FF000000"/>
        <rFont val="Cambria Math;Cambria Math"/>
        <family val="2"/>
        <charset val="129"/>
      </rPr>
      <t xml:space="preserve">𝑖∗ </t>
    </r>
  </si>
  <si>
    <r>
      <rPr>
        <b val="true"/>
        <sz val="8"/>
        <color rgb="FF000000"/>
        <rFont val="Cambria Math;Cambria Math"/>
        <family val="2"/>
      </rPr>
      <t xml:space="preserve">𝑛𝑖(𝑥̃𝑖−𝑚∗</t>
    </r>
    <r>
      <rPr>
        <b val="true"/>
        <sz val="7"/>
        <color rgb="FF000000"/>
        <rFont val="Cambria Math;Cambria Math"/>
        <family val="2"/>
      </rPr>
      <t xml:space="preserve">𝑥</t>
    </r>
    <r>
      <rPr>
        <b val="true"/>
        <sz val="8"/>
        <color rgb="FF000000"/>
        <rFont val="Cambria Math;Cambria Math"/>
        <family val="2"/>
      </rPr>
      <t xml:space="preserve">)</t>
    </r>
    <r>
      <rPr>
        <b val="true"/>
        <vertAlign val="superscript"/>
        <sz val="8"/>
        <color rgb="FF000000"/>
        <rFont val="Cambria Math;Cambria Math"/>
        <family val="2"/>
      </rPr>
      <t xml:space="preserve">2</t>
    </r>
    <r>
      <rPr>
        <b val="true"/>
        <sz val="8"/>
        <color rgb="FF000000"/>
        <rFont val="Cambria Math;Cambria Math"/>
        <family val="2"/>
      </rPr>
      <t xml:space="preserve">/(</t>
    </r>
    <r>
      <rPr>
        <b val="true"/>
        <sz val="7"/>
        <color rgb="FF000000"/>
        <rFont val="Cambria Math;Cambria Math"/>
        <family val="2"/>
      </rPr>
      <t xml:space="preserve"> </t>
    </r>
    <r>
      <rPr>
        <b val="true"/>
        <sz val="8"/>
        <color rgb="FF000000"/>
        <rFont val="Cambria Math;Cambria Math"/>
        <family val="2"/>
      </rPr>
      <t xml:space="preserve">𝑛−1) </t>
    </r>
  </si>
  <si>
    <r>
      <rPr>
        <b val="true"/>
        <sz val="13"/>
        <color rgb="FF000000"/>
        <rFont val="Cambria Math;Cambria Math"/>
        <family val="2"/>
        <charset val="128"/>
      </rPr>
      <t xml:space="preserve">𝑧</t>
    </r>
    <r>
      <rPr>
        <b val="true"/>
        <vertAlign val="subscript"/>
        <sz val="13"/>
        <color rgb="FF000000"/>
        <rFont val="Cambria Math;Cambria Math"/>
        <family val="2"/>
        <charset val="128"/>
      </rPr>
      <t xml:space="preserve">i</t>
    </r>
  </si>
  <si>
    <r>
      <rPr>
        <b val="true"/>
        <sz val="13"/>
        <color rgb="FF000000"/>
        <rFont val="Arial"/>
        <family val="2"/>
        <charset val="1"/>
      </rPr>
      <t xml:space="preserve">Z</t>
    </r>
    <r>
      <rPr>
        <b val="true"/>
        <vertAlign val="subscript"/>
        <sz val="13"/>
        <color rgb="FF000000"/>
        <rFont val="Arial"/>
        <family val="2"/>
        <charset val="1"/>
      </rPr>
      <t xml:space="preserve">i+1</t>
    </r>
  </si>
  <si>
    <r>
      <rPr>
        <b val="true"/>
        <sz val="11.5"/>
        <color rgb="FF000000"/>
        <rFont val="Arial"/>
        <family val="2"/>
        <charset val="1"/>
      </rPr>
      <t xml:space="preserve">Ф(z</t>
    </r>
    <r>
      <rPr>
        <b val="true"/>
        <vertAlign val="subscript"/>
        <sz val="11.5"/>
        <color rgb="FF000000"/>
        <rFont val="Arial"/>
        <family val="2"/>
        <charset val="1"/>
      </rPr>
      <t xml:space="preserve">i</t>
    </r>
    <r>
      <rPr>
        <b val="true"/>
        <sz val="11.5"/>
        <color rgb="FF000000"/>
        <rFont val="Arial"/>
        <family val="2"/>
        <charset val="1"/>
      </rPr>
      <t xml:space="preserve">) 
</t>
    </r>
  </si>
  <si>
    <r>
      <rPr>
        <b val="true"/>
        <sz val="11.5"/>
        <color rgb="FF000000"/>
        <rFont val="Arial"/>
        <family val="2"/>
        <charset val="1"/>
      </rPr>
      <t xml:space="preserve">Ф(z</t>
    </r>
    <r>
      <rPr>
        <b val="true"/>
        <vertAlign val="subscript"/>
        <sz val="11.5"/>
        <color rgb="FF000000"/>
        <rFont val="Arial"/>
        <family val="2"/>
        <charset val="1"/>
      </rPr>
      <t xml:space="preserve">i+1</t>
    </r>
    <r>
      <rPr>
        <b val="true"/>
        <sz val="11.5"/>
        <color rgb="FF000000"/>
        <rFont val="Arial"/>
        <family val="2"/>
        <charset val="1"/>
      </rPr>
      <t xml:space="preserve">)
</t>
    </r>
  </si>
  <si>
    <r>
      <rPr>
        <sz val="11.5"/>
        <color rgb="FF000000"/>
        <rFont val="Cambria Math;Cambria Math"/>
        <family val="2"/>
        <charset val="204"/>
      </rPr>
      <t xml:space="preserve">𝑃𝑖
</t>
    </r>
  </si>
  <si>
    <r>
      <rPr>
        <sz val="10"/>
        <color rgb="FF000000"/>
        <rFont val="Cambria Math;Cambria Math"/>
        <family val="2"/>
        <charset val="128"/>
      </rPr>
      <t xml:space="preserve">n*(</t>
    </r>
    <r>
      <rPr>
        <sz val="11.5"/>
        <color rgb="FF000000"/>
        <rFont val="Cambria Math;Cambria Math"/>
        <family val="2"/>
        <charset val="204"/>
      </rPr>
      <t xml:space="preserve">Р</t>
    </r>
    <r>
      <rPr>
        <sz val="8"/>
        <color rgb="FF000000"/>
        <rFont val="Cambria Math;Cambria Math"/>
        <family val="2"/>
        <charset val="204"/>
      </rPr>
      <t xml:space="preserve">𝑖∗ -</t>
    </r>
    <r>
      <rPr>
        <sz val="11.5"/>
        <color rgb="FF000000"/>
        <rFont val="Cambria Math;Cambria Math"/>
        <family val="2"/>
        <charset val="204"/>
      </rPr>
      <t xml:space="preserve">𝑃𝑖 )</t>
    </r>
    <r>
      <rPr>
        <vertAlign val="superscript"/>
        <sz val="11.5"/>
        <color rgb="FF000000"/>
        <rFont val="Cambria Math;Cambria Math"/>
        <family val="2"/>
        <charset val="204"/>
      </rPr>
      <t xml:space="preserve">2</t>
    </r>
    <r>
      <rPr>
        <sz val="11.5"/>
        <color rgb="FF000000"/>
        <rFont val="Cambria Math;Cambria Math"/>
        <family val="2"/>
        <charset val="204"/>
      </rPr>
      <t xml:space="preserve"> / 𝑃𝑖 </t>
    </r>
  </si>
  <si>
    <t xml:space="preserve">19.85; 19.92</t>
  </si>
  <si>
    <t xml:space="preserve">19.92; 19.99</t>
  </si>
  <si>
    <t xml:space="preserve">19.99; 20.06</t>
  </si>
  <si>
    <t xml:space="preserve">20.06; 20.13</t>
  </si>
  <si>
    <t xml:space="preserve">20.13; 20.20</t>
  </si>
  <si>
    <t xml:space="preserve">20.20; 20.27</t>
  </si>
  <si>
    <t xml:space="preserve">20.27; 20.34</t>
  </si>
  <si>
    <t xml:space="preserve">20.34; 20.41</t>
  </si>
  <si>
    <t xml:space="preserve">n</t>
  </si>
  <si>
    <t xml:space="preserve">Сумма P*</t>
  </si>
  <si>
    <t xml:space="preserve">m_x*</t>
  </si>
  <si>
    <t xml:space="preserve">S^2</t>
  </si>
  <si>
    <t xml:space="preserve">Сумма P</t>
  </si>
  <si>
    <t xml:space="preserve">X^2</t>
  </si>
  <si>
    <t xml:space="preserve">S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</si>
</sst>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28">
    <font>
      <sz val="10"/>
      <name val="Arial"/>
      <family val="2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color rgb="FF000000"/>
      <name val="Mangal"/>
      <family val="2"/>
      <charset val="204"/>
    </font>
    <font>
      <b val="true"/>
      <sz val="13"/>
      <name val="Arial"/>
      <family val="2"/>
      <charset val="1"/>
    </font>
    <font>
      <b val="true"/>
      <vertAlign val="subscript"/>
      <sz val="13"/>
      <name val="Arial"/>
      <family val="2"/>
      <charset val="1"/>
    </font>
    <font>
      <b val="true"/>
      <vertAlign val="superscript"/>
      <sz val="13"/>
      <name val="Arial"/>
      <family val="2"/>
      <charset val="1"/>
    </font>
    <font>
      <b val="true"/>
      <sz val="11.5"/>
      <color rgb="FF000000"/>
      <name val="Cambria Math;Cambria Math"/>
      <family val="2"/>
      <charset val="129"/>
    </font>
    <font>
      <b val="true"/>
      <vertAlign val="subscript"/>
      <sz val="11.5"/>
      <color rgb="FF000000"/>
      <name val="Cambria Math;Cambria Math"/>
      <family val="2"/>
      <charset val="129"/>
    </font>
    <font>
      <b val="true"/>
      <sz val="8"/>
      <color rgb="FF000000"/>
      <name val="Cambria Math;Cambria Math"/>
      <family val="2"/>
      <charset val="129"/>
    </font>
    <font>
      <b val="true"/>
      <sz val="8"/>
      <color rgb="FF000000"/>
      <name val="Cambria Math;Cambria Math"/>
      <family val="2"/>
    </font>
    <font>
      <b val="true"/>
      <sz val="7"/>
      <color rgb="FF000000"/>
      <name val="Cambria Math;Cambria Math"/>
      <family val="2"/>
    </font>
    <font>
      <b val="true"/>
      <vertAlign val="superscript"/>
      <sz val="8"/>
      <color rgb="FF000000"/>
      <name val="Cambria Math;Cambria Math"/>
      <family val="2"/>
    </font>
    <font>
      <b val="true"/>
      <sz val="13"/>
      <color rgb="FF000000"/>
      <name val="Cambria Math;Cambria Math"/>
      <family val="2"/>
      <charset val="128"/>
    </font>
    <font>
      <b val="true"/>
      <vertAlign val="subscript"/>
      <sz val="13"/>
      <color rgb="FF000000"/>
      <name val="Cambria Math;Cambria Math"/>
      <family val="2"/>
      <charset val="128"/>
    </font>
    <font>
      <b val="true"/>
      <sz val="13"/>
      <color rgb="FF000000"/>
      <name val="Arial"/>
      <family val="2"/>
      <charset val="1"/>
    </font>
    <font>
      <b val="true"/>
      <vertAlign val="subscript"/>
      <sz val="13"/>
      <color rgb="FF000000"/>
      <name val="Arial"/>
      <family val="2"/>
      <charset val="1"/>
    </font>
    <font>
      <b val="true"/>
      <sz val="11.5"/>
      <color rgb="FF000000"/>
      <name val="Arial"/>
      <family val="2"/>
      <charset val="1"/>
    </font>
    <font>
      <b val="true"/>
      <vertAlign val="subscript"/>
      <sz val="11.5"/>
      <color rgb="FF000000"/>
      <name val="Arial"/>
      <family val="2"/>
      <charset val="1"/>
    </font>
    <font>
      <b val="true"/>
      <sz val="12"/>
      <name val="Arial"/>
      <family val="2"/>
      <charset val="1"/>
    </font>
    <font>
      <sz val="11.5"/>
      <color rgb="FF000000"/>
      <name val="Cambria Math;Cambria Math"/>
      <family val="2"/>
      <charset val="204"/>
    </font>
    <font>
      <sz val="10"/>
      <color rgb="FF000000"/>
      <name val="Cambria Math;Cambria Math"/>
      <family val="2"/>
      <charset val="128"/>
    </font>
    <font>
      <sz val="8"/>
      <color rgb="FF000000"/>
      <name val="Cambria Math;Cambria Math"/>
      <family val="2"/>
      <charset val="204"/>
    </font>
    <font>
      <vertAlign val="superscript"/>
      <sz val="11.5"/>
      <color rgb="FF000000"/>
      <name val="Cambria Math;Cambria Math"/>
      <family val="2"/>
      <charset val="204"/>
    </font>
    <font>
      <b val="true"/>
      <sz val="10"/>
      <name val="Arial"/>
      <family val="2"/>
      <charset val="204"/>
    </font>
    <font>
      <b val="true"/>
      <sz val="11"/>
      <color rgb="FF000000"/>
      <name val="Times New Roman;Times New Roman"/>
      <family val="1"/>
    </font>
    <font>
      <sz val="9.5"/>
      <name val="CIDFont+F1"/>
      <family val="0"/>
      <charset val="204"/>
    </font>
  </fonts>
  <fills count="9">
    <fill>
      <patternFill patternType="none"/>
    </fill>
    <fill>
      <patternFill patternType="gray125"/>
    </fill>
    <fill>
      <patternFill patternType="solid">
        <fgColor rgb="FF3465A4"/>
        <bgColor rgb="FF3366FF"/>
      </patternFill>
    </fill>
    <fill>
      <patternFill patternType="solid">
        <fgColor rgb="FFB47804"/>
        <bgColor rgb="FFFF860D"/>
      </patternFill>
    </fill>
    <fill>
      <patternFill patternType="solid">
        <fgColor rgb="FFFFBF00"/>
        <bgColor rgb="FFFF860D"/>
      </patternFill>
    </fill>
    <fill>
      <patternFill patternType="solid">
        <fgColor rgb="FFFF860D"/>
        <bgColor rgb="FFFF6600"/>
      </patternFill>
    </fill>
    <fill>
      <patternFill patternType="solid">
        <fgColor rgb="FF81D41A"/>
        <bgColor rgb="FF969696"/>
      </patternFill>
    </fill>
    <fill>
      <patternFill patternType="solid">
        <fgColor rgb="FFFFFF00"/>
        <bgColor rgb="FFFFFF00"/>
      </patternFill>
    </fill>
    <fill>
      <patternFill patternType="solid">
        <fgColor rgb="FF650953"/>
        <bgColor rgb="FF80008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false" applyAlignment="false" applyProtection="false"/>
  </cellStyleXfs>
  <cellXfs count="2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22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Заголовок" xfId="20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B47804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50953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81D41A"/>
      <rgbColor rgb="FFFFBF00"/>
      <rgbColor rgb="FFFF860D"/>
      <rgbColor rgb="FFFF6600"/>
      <rgbColor rgb="FF3465A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9"/>
  <sheetViews>
    <sheetView showFormulas="false" showGridLines="true" showRowColHeaders="true" showZeros="true" rightToLeft="false" tabSelected="true" showOutlineSymbols="true" defaultGridColor="true" view="normal" topLeftCell="A1" colorId="64" zoomScale="50" zoomScaleNormal="50" zoomScalePageLayoutView="100" workbookViewId="0">
      <selection pane="topLeft" activeCell="D20" activeCellId="0" sqref="D20"/>
    </sheetView>
  </sheetViews>
  <sheetFormatPr defaultColWidth="11.53515625" defaultRowHeight="12.8" zeroHeight="false" outlineLevelRow="0" outlineLevelCol="0"/>
  <cols>
    <col collapsed="false" customWidth="true" hidden="false" outlineLevel="0" max="7" min="7" style="0" width="17.92"/>
    <col collapsed="false" customWidth="true" hidden="false" outlineLevel="0" max="8" min="8" style="0" width="14.72"/>
    <col collapsed="false" customWidth="true" hidden="false" outlineLevel="0" max="9" min="9" style="0" width="11.39"/>
    <col collapsed="false" customWidth="true" hidden="false" outlineLevel="0" max="13" min="13" style="0" width="15"/>
  </cols>
  <sheetData>
    <row r="1" customFormat="false" ht="28.35" hidden="false" customHeight="tru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4" t="s">
        <v>7</v>
      </c>
      <c r="I1" s="5" t="s">
        <v>8</v>
      </c>
      <c r="J1" s="6" t="s">
        <v>9</v>
      </c>
      <c r="K1" s="6" t="s">
        <v>10</v>
      </c>
      <c r="L1" s="7" t="s">
        <v>11</v>
      </c>
      <c r="M1" s="8" t="s">
        <v>12</v>
      </c>
    </row>
    <row r="2" customFormat="false" ht="13.8" hidden="false" customHeight="false" outlineLevel="0" collapsed="false">
      <c r="A2" s="9" t="n">
        <v>1</v>
      </c>
      <c r="B2" s="9" t="n">
        <v>2</v>
      </c>
      <c r="C2" s="9" t="n">
        <v>3</v>
      </c>
      <c r="D2" s="9" t="n">
        <v>4</v>
      </c>
      <c r="E2" s="9" t="n">
        <v>5</v>
      </c>
      <c r="F2" s="9" t="n">
        <v>6</v>
      </c>
      <c r="G2" s="9" t="n">
        <v>7</v>
      </c>
      <c r="H2" s="9" t="n">
        <v>8</v>
      </c>
      <c r="I2" s="9" t="n">
        <v>9</v>
      </c>
      <c r="J2" s="9" t="n">
        <v>10</v>
      </c>
      <c r="K2" s="9" t="n">
        <v>11</v>
      </c>
      <c r="L2" s="9" t="n">
        <v>12</v>
      </c>
      <c r="M2" s="10" t="n">
        <v>13</v>
      </c>
    </row>
    <row r="3" customFormat="false" ht="12.8" hidden="false" customHeight="false" outlineLevel="0" collapsed="false">
      <c r="A3" s="0" t="n">
        <v>1</v>
      </c>
      <c r="B3" s="0" t="s">
        <v>13</v>
      </c>
      <c r="C3" s="0" t="n">
        <v>5</v>
      </c>
      <c r="D3" s="11" t="n">
        <v>0.02</v>
      </c>
      <c r="E3" s="0" t="n">
        <v>19.885</v>
      </c>
      <c r="F3" s="0" t="n">
        <v>0.398</v>
      </c>
      <c r="G3" s="0" t="n">
        <f aca="false">PRODUCT(1.172, A19)</f>
        <v>0.001172</v>
      </c>
      <c r="H3" s="0" t="n">
        <v>-2.784</v>
      </c>
      <c r="I3" s="0" t="n">
        <v>-2.079</v>
      </c>
      <c r="J3" s="0" t="n">
        <v>-0.481</v>
      </c>
      <c r="K3" s="0" t="n">
        <v>-0.497</v>
      </c>
      <c r="L3" s="0" t="n">
        <v>0.016</v>
      </c>
      <c r="M3" s="12" t="n">
        <f aca="false">PRODUCT(4.502, B19)</f>
        <v>0.0004502</v>
      </c>
    </row>
    <row r="4" customFormat="false" ht="12.8" hidden="false" customHeight="false" outlineLevel="0" collapsed="false">
      <c r="A4" s="0" t="n">
        <v>2</v>
      </c>
      <c r="B4" s="0" t="s">
        <v>14</v>
      </c>
      <c r="C4" s="0" t="n">
        <v>6</v>
      </c>
      <c r="D4" s="0" t="n">
        <v>0.024</v>
      </c>
      <c r="E4" s="0" t="n">
        <v>19.955</v>
      </c>
      <c r="F4" s="0" t="n">
        <v>0.479</v>
      </c>
      <c r="G4" s="0" t="n">
        <f aca="false">PRODUCT(7.099, B19)</f>
        <v>0.0007099</v>
      </c>
      <c r="H4" s="0" t="n">
        <v>-2.079</v>
      </c>
      <c r="I4" s="12" t="n">
        <v>-1.375</v>
      </c>
      <c r="J4" s="0" t="n">
        <v>-0.415</v>
      </c>
      <c r="K4" s="12" t="n">
        <v>-0.481</v>
      </c>
      <c r="L4" s="0" t="n">
        <v>0.066</v>
      </c>
      <c r="M4" s="0" t="n">
        <v>0.027</v>
      </c>
    </row>
    <row r="5" customFormat="false" ht="12.8" hidden="false" customHeight="false" outlineLevel="0" collapsed="false">
      <c r="A5" s="0" t="n">
        <v>3</v>
      </c>
      <c r="B5" s="0" t="s">
        <v>15</v>
      </c>
      <c r="C5" s="0" t="n">
        <v>71</v>
      </c>
      <c r="D5" s="0" t="n">
        <v>0.284</v>
      </c>
      <c r="E5" s="0" t="n">
        <v>20.025</v>
      </c>
      <c r="F5" s="0" t="n">
        <v>5.687</v>
      </c>
      <c r="G5" s="0" t="n">
        <f aca="false">PRODUCT(2.946, A19)</f>
        <v>0.002946</v>
      </c>
      <c r="H5" s="0" t="n">
        <v>-1.375</v>
      </c>
      <c r="I5" s="12" t="n">
        <v>-0.671</v>
      </c>
      <c r="J5" s="0" t="n">
        <v>-0.249</v>
      </c>
      <c r="K5" s="12" t="n">
        <v>-0.415</v>
      </c>
      <c r="L5" s="0" t="n">
        <v>0.167</v>
      </c>
      <c r="M5" s="0" t="n">
        <v>0.083</v>
      </c>
    </row>
    <row r="6" customFormat="false" ht="12.8" hidden="false" customHeight="false" outlineLevel="0" collapsed="false">
      <c r="A6" s="0" t="n">
        <v>4</v>
      </c>
      <c r="B6" s="0" t="s">
        <v>16</v>
      </c>
      <c r="C6" s="0" t="n">
        <v>33</v>
      </c>
      <c r="D6" s="0" t="n">
        <v>0.132</v>
      </c>
      <c r="E6" s="0" t="n">
        <v>20.095</v>
      </c>
      <c r="F6" s="0" t="n">
        <v>2.653</v>
      </c>
      <c r="G6" s="0" t="n">
        <f aca="false">PRODUCT(1.327,B19)</f>
        <v>0.0001327</v>
      </c>
      <c r="H6" s="0" t="n">
        <v>-0.671</v>
      </c>
      <c r="I6" s="12" t="n">
        <v>0.034</v>
      </c>
      <c r="J6" s="0" t="n">
        <v>0.013</v>
      </c>
      <c r="K6" s="12" t="n">
        <v>-0.249</v>
      </c>
      <c r="L6" s="0" t="n">
        <v>0.262</v>
      </c>
      <c r="M6" s="0" t="n">
        <v>0.065</v>
      </c>
    </row>
    <row r="7" customFormat="false" ht="12.8" hidden="false" customHeight="false" outlineLevel="0" collapsed="false">
      <c r="A7" s="0" t="n">
        <v>5</v>
      </c>
      <c r="B7" s="0" t="s">
        <v>17</v>
      </c>
      <c r="C7" s="0" t="n">
        <v>79</v>
      </c>
      <c r="D7" s="0" t="n">
        <v>0.316</v>
      </c>
      <c r="E7" s="0" t="n">
        <v>20.165</v>
      </c>
      <c r="F7" s="0" t="n">
        <v>6.372</v>
      </c>
      <c r="G7" s="0" t="n">
        <f aca="false">PRODUCT(4.669, B19)</f>
        <v>0.0004669</v>
      </c>
      <c r="H7" s="0" t="n">
        <v>0.034</v>
      </c>
      <c r="I7" s="12" t="n">
        <v>0.738</v>
      </c>
      <c r="J7" s="0" t="n">
        <v>0.27</v>
      </c>
      <c r="K7" s="12" t="n">
        <v>0.013</v>
      </c>
      <c r="L7" s="0" t="n">
        <v>0.256</v>
      </c>
      <c r="M7" s="0" t="n">
        <v>0.014</v>
      </c>
    </row>
    <row r="8" customFormat="false" ht="12.8" hidden="false" customHeight="false" outlineLevel="0" collapsed="false">
      <c r="A8" s="0" t="n">
        <v>6</v>
      </c>
      <c r="B8" s="0" t="s">
        <v>18</v>
      </c>
      <c r="C8" s="0" t="n">
        <v>41</v>
      </c>
      <c r="D8" s="0" t="n">
        <v>0.164</v>
      </c>
      <c r="E8" s="0" t="n">
        <v>20.235</v>
      </c>
      <c r="F8" s="0" t="n">
        <v>3.319</v>
      </c>
      <c r="G8" s="0" t="n">
        <f aca="false">PRODUCT(1.933, A19)</f>
        <v>0.001933</v>
      </c>
      <c r="H8" s="0" t="n">
        <v>0.738</v>
      </c>
      <c r="I8" s="12" t="n">
        <v>1.442</v>
      </c>
      <c r="J8" s="0" t="n">
        <v>0.425</v>
      </c>
      <c r="K8" s="12" t="n">
        <v>0.27</v>
      </c>
      <c r="L8" s="0" t="n">
        <v>0.156</v>
      </c>
      <c r="M8" s="12" t="n">
        <f aca="false">PRODUCT(4.502, B19)</f>
        <v>0.0004502</v>
      </c>
    </row>
    <row r="9" customFormat="false" ht="12.8" hidden="false" customHeight="false" outlineLevel="0" collapsed="false">
      <c r="A9" s="0" t="n">
        <v>7</v>
      </c>
      <c r="B9" s="0" t="s">
        <v>19</v>
      </c>
      <c r="C9" s="0" t="n">
        <v>10</v>
      </c>
      <c r="D9" s="0" t="n">
        <v>0.04</v>
      </c>
      <c r="E9" s="0" t="n">
        <v>20.305</v>
      </c>
      <c r="F9" s="0" t="n">
        <v>0.812</v>
      </c>
      <c r="G9" s="0" t="n">
        <f aca="false">PRODUCT(1.278, A19)</f>
        <v>0.001278</v>
      </c>
      <c r="H9" s="0" t="n">
        <v>1.442</v>
      </c>
      <c r="I9" s="12" t="n">
        <v>2.147</v>
      </c>
      <c r="J9" s="0" t="n">
        <v>0.484</v>
      </c>
      <c r="K9" s="12" t="n">
        <v>0.425</v>
      </c>
      <c r="L9" s="0" t="n">
        <v>0.059</v>
      </c>
      <c r="M9" s="0" t="n">
        <f aca="false">PRODUCT(5.946, A19)</f>
        <v>0.005946</v>
      </c>
    </row>
    <row r="10" customFormat="false" ht="12.8" hidden="false" customHeight="false" outlineLevel="0" collapsed="false">
      <c r="A10" s="0" t="n">
        <v>8</v>
      </c>
      <c r="B10" s="0" t="s">
        <v>20</v>
      </c>
      <c r="C10" s="0" t="n">
        <v>5</v>
      </c>
      <c r="D10" s="0" t="n">
        <v>0.02</v>
      </c>
      <c r="E10" s="0" t="n">
        <v>20.375</v>
      </c>
      <c r="F10" s="0" t="n">
        <v>0.408</v>
      </c>
      <c r="G10" s="0" t="n">
        <f aca="false">PRODUCT(1.239, A19)</f>
        <v>0.001239</v>
      </c>
      <c r="H10" s="0" t="n">
        <v>2.147</v>
      </c>
      <c r="I10" s="0" t="n">
        <v>2.851</v>
      </c>
      <c r="J10" s="0" t="n">
        <v>0.498</v>
      </c>
      <c r="K10" s="12" t="n">
        <v>0.484</v>
      </c>
      <c r="L10" s="0" t="n">
        <v>0.014</v>
      </c>
      <c r="M10" s="0" t="n">
        <f aca="false">PRODUCT(2.868, A19)</f>
        <v>0.002868</v>
      </c>
    </row>
    <row r="11" customFormat="false" ht="12.8" hidden="false" customHeight="false" outlineLevel="0" collapsed="false">
      <c r="C11" s="13" t="n">
        <f aca="false">SUM(C3:C10)</f>
        <v>250</v>
      </c>
      <c r="D11" s="14" t="n">
        <f aca="false">SUM(D3:D10)</f>
        <v>1</v>
      </c>
      <c r="F11" s="15" t="n">
        <v>20.127</v>
      </c>
      <c r="G11" s="16" t="n">
        <f aca="false">PRODUCT(9.877, A19)</f>
        <v>0.009877</v>
      </c>
      <c r="L11" s="17" t="n">
        <v>0.995</v>
      </c>
      <c r="M11" s="18" t="n">
        <v>49.478</v>
      </c>
    </row>
    <row r="12" customFormat="false" ht="12.8" hidden="false" customHeight="false" outlineLevel="0" collapsed="false">
      <c r="C12" s="13" t="s">
        <v>21</v>
      </c>
      <c r="D12" s="14" t="s">
        <v>22</v>
      </c>
      <c r="F12" s="15" t="s">
        <v>23</v>
      </c>
      <c r="G12" s="16" t="s">
        <v>24</v>
      </c>
      <c r="L12" s="17" t="s">
        <v>25</v>
      </c>
      <c r="M12" s="18" t="s">
        <v>26</v>
      </c>
    </row>
    <row r="13" customFormat="false" ht="12.8" hidden="false" customHeight="false" outlineLevel="0" collapsed="false">
      <c r="G13" s="19" t="n">
        <v>0.099</v>
      </c>
    </row>
    <row r="14" customFormat="false" ht="12.8" hidden="false" customHeight="false" outlineLevel="0" collapsed="false">
      <c r="G14" s="19" t="s">
        <v>27</v>
      </c>
    </row>
    <row r="19" customFormat="false" ht="12.8" hidden="false" customHeight="false" outlineLevel="0" collapsed="false">
      <c r="A19" s="0" t="n">
        <f aca="false">POWER(10, -3)</f>
        <v>0.001</v>
      </c>
      <c r="B19" s="0" t="n">
        <f aca="false">POWER(10, -4)</f>
        <v>0.0001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</TotalTime>
  <Application>LibreOffice/6.3.3.2$Windows_X86_64 LibreOffice_project/a64200df03143b798afd1ec74a12ab50359878ed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2017-10-20T23:41:04Z</dcterms:created>
  <dc:creator/>
  <dc:description/>
  <dc:language>ru-RU</dc:language>
  <cp:lastModifiedBy/>
  <dcterms:modified xsi:type="dcterms:W3CDTF">2020-04-15T01:38:05Z</dcterms:modified>
  <cp:revision>1</cp:revision>
  <dc:subject/>
  <dc:title/>
</cp:coreProperties>
</file>